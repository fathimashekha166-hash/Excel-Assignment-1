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E97A214-36C2-4374-9F14-B8BEC7130FA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  <sheet name="Sheet2" sheetId="4" r:id="rId3"/>
    <sheet name="Sheet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H39" i="2"/>
  <c r="H40" i="2"/>
  <c r="E32" i="2"/>
  <c r="E33" i="2"/>
  <c r="E34" i="2"/>
  <c r="E3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D43" i="2"/>
  <c r="D42" i="2"/>
  <c r="D40" i="2"/>
  <c r="D39" i="2"/>
  <c r="D38" i="2"/>
</calcChain>
</file>

<file path=xl/sharedStrings.xml><?xml version="1.0" encoding="utf-8"?>
<sst xmlns="http://schemas.openxmlformats.org/spreadsheetml/2006/main" count="174" uniqueCount="121">
  <si>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</si>
  <si>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</si>
  <si>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</si>
  <si>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</si>
  <si>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</si>
  <si>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</si>
  <si>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</si>
  <si>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</si>
  <si>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</si>
  <si>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</si>
  <si>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</si>
  <si>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</si>
  <si>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</si>
  <si>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</si>
  <si>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</si>
  <si>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</si>
  <si>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</si>
  <si>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</si>
  <si>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</si>
  <si>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</si>
  <si>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</si>
  <si>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</si>
  <si>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</si>
  <si>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</si>
  <si>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</si>
  <si>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</si>
  <si>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</si>
  <si>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</si>
  <si>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</si>
  <si>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</si>
  <si>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</si>
  <si>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</si>
  <si>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</si>
  <si>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</si>
  <si>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</si>
  <si>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</si>
  <si>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</si>
  <si>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</si>
  <si>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</si>
  <si>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</si>
  <si>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</si>
  <si>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</si>
  <si>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</si>
  <si>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</si>
  <si>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</si>
  <si>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</si>
  <si>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</si>
  <si>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</si>
  <si>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</si>
  <si>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</si>
  <si>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</si>
  <si>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</si>
  <si>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</si>
  <si>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</si>
  <si>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</si>
  <si>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</si>
  <si>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</si>
  <si>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</si>
  <si>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</si>
  <si>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</si>
  <si>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</si>
  <si>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</si>
  <si>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</si>
  <si>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</si>
  <si>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</si>
  <si>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</si>
  <si>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</si>
  <si>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</si>
  <si>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</si>
  <si>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</si>
  <si>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</si>
  <si>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</si>
  <si>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</si>
  <si>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</si>
  <si>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</si>
  <si>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</si>
  <si>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</si>
  <si>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</si>
  <si>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</si>
  <si>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</si>
  <si>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</si>
  <si>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</si>
  <si>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</si>
  <si>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</si>
  <si>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</si>
  <si>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</si>
  <si>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</si>
  <si>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</si>
  <si>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</si>
  <si>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</si>
  <si>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</si>
  <si>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</si>
  <si>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</si>
  <si>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</si>
  <si>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</si>
  <si>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</si>
  <si>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</si>
  <si>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</si>
  <si>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</si>
  <si>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</si>
  <si>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</si>
  <si>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</si>
  <si>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</si>
  <si>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</si>
  <si>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</si>
  <si>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</si>
  <si>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</si>
  <si>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</si>
  <si>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</si>
  <si>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</si>
  <si>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</si>
  <si>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AVERAGE</t>
  </si>
  <si>
    <t>COUNT</t>
  </si>
  <si>
    <t>MIN</t>
  </si>
  <si>
    <t>MAX</t>
  </si>
  <si>
    <t>Price Range</t>
  </si>
  <si>
    <t>SUMIF</t>
  </si>
  <si>
    <t>COUNTIF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</si>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</sst>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5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27" workbookViewId="0">
      <selection activeCell="K35" sqref="K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12.5703125" customWidth="1"/>
    <col min="4" max="4" width="12" bestFit="1" customWidth="1"/>
    <col min="5" max="5" width="21.28515625" customWidth="1"/>
    <col min="6" max="7" width="12.5703125" customWidth="1"/>
  </cols>
  <sheetData>
    <row r="1" spans="1:10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115</v>
      </c>
      <c r="F1" s="5" t="s">
        <v>21</v>
      </c>
      <c r="G1" s="5" t="s">
        <v>22</v>
      </c>
      <c r="H1" s="5" t="s">
        <v>118</v>
      </c>
      <c r="I1" s="5" t="s">
        <v>119</v>
      </c>
      <c r="J1" s="5" t="s">
        <v>120</v>
      </c>
    </row>
    <row r="2" spans="1:10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 t="str">
        <f>IF(D2&gt;=500,"High Price","Standard Price")</f>
        <v>High Price</v>
      </c>
      <c r="F2" s="6">
        <v>30</v>
      </c>
      <c r="G2" s="6" t="s">
        <v>26</v>
      </c>
      <c r="H2" s="6" t="str">
        <f>LEFT(A2,2)</f>
        <v>28</v>
      </c>
      <c r="I2" s="6" t="str">
        <f>RIGHT(A2,2)</f>
        <v>US</v>
      </c>
      <c r="J2" s="6" t="str">
        <f>MID(A2,4,3)</f>
        <v>JAN</v>
      </c>
    </row>
    <row r="3" spans="1:10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6" t="str">
        <f t="shared" ref="E3:E35" si="0">IF(D3&gt;=500,"High Price","Standard Price")</f>
        <v>Standard Price</v>
      </c>
      <c r="F3" s="7">
        <v>15</v>
      </c>
      <c r="G3" s="7" t="s">
        <v>30</v>
      </c>
      <c r="H3" s="6" t="str">
        <f t="shared" ref="H3:H35" si="1">LEFT(A3,2)</f>
        <v>15</v>
      </c>
      <c r="I3" s="6" t="str">
        <f t="shared" ref="I3:I35" si="2">RIGHT(A3,2)</f>
        <v>US</v>
      </c>
      <c r="J3" s="6" t="str">
        <f t="shared" ref="J3:J35" si="3">MID(A3,4,3)</f>
        <v>FEB</v>
      </c>
    </row>
    <row r="4" spans="1:10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 t="str">
        <f t="shared" si="0"/>
        <v>Standard Price</v>
      </c>
      <c r="F4" s="6">
        <v>40</v>
      </c>
      <c r="G4" s="6" t="s">
        <v>34</v>
      </c>
      <c r="H4" s="6" t="str">
        <f t="shared" si="1"/>
        <v>03</v>
      </c>
      <c r="I4" s="6" t="str">
        <f t="shared" si="2"/>
        <v>US</v>
      </c>
      <c r="J4" s="6" t="str">
        <f t="shared" si="3"/>
        <v>MAR</v>
      </c>
    </row>
    <row r="5" spans="1:10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6" t="str">
        <f t="shared" si="0"/>
        <v>High Price</v>
      </c>
      <c r="F5" s="7">
        <v>25</v>
      </c>
      <c r="G5" s="7" t="s">
        <v>26</v>
      </c>
      <c r="H5" s="6" t="str">
        <f t="shared" si="1"/>
        <v>11</v>
      </c>
      <c r="I5" s="6" t="str">
        <f t="shared" si="2"/>
        <v>US</v>
      </c>
      <c r="J5" s="6" t="str">
        <f t="shared" si="3"/>
        <v>APR</v>
      </c>
    </row>
    <row r="6" spans="1:10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 t="str">
        <f t="shared" si="0"/>
        <v>Standard Price</v>
      </c>
      <c r="F6" s="6">
        <v>20</v>
      </c>
      <c r="G6" s="6" t="s">
        <v>41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</row>
    <row r="7" spans="1:10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6" t="str">
        <f t="shared" si="0"/>
        <v>Standard Price</v>
      </c>
      <c r="F7" s="7">
        <v>45</v>
      </c>
      <c r="G7" s="7" t="s">
        <v>26</v>
      </c>
      <c r="H7" s="6" t="str">
        <f t="shared" si="1"/>
        <v>07</v>
      </c>
      <c r="I7" s="6" t="str">
        <f t="shared" si="2"/>
        <v>UK</v>
      </c>
      <c r="J7" s="6" t="str">
        <f t="shared" si="3"/>
        <v>JUN</v>
      </c>
    </row>
    <row r="8" spans="1:10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 t="str">
        <f t="shared" si="0"/>
        <v>Standard Price</v>
      </c>
      <c r="F8" s="6">
        <v>5</v>
      </c>
      <c r="G8" s="6" t="s">
        <v>30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</row>
    <row r="9" spans="1:10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6" t="str">
        <f t="shared" si="0"/>
        <v>Standard Price</v>
      </c>
      <c r="F9" s="7">
        <v>35</v>
      </c>
      <c r="G9" s="7" t="s">
        <v>34</v>
      </c>
      <c r="H9" s="6" t="str">
        <f t="shared" si="1"/>
        <v>23</v>
      </c>
      <c r="I9" s="6" t="str">
        <f t="shared" si="2"/>
        <v>UK</v>
      </c>
      <c r="J9" s="6" t="str">
        <f t="shared" si="3"/>
        <v>AUG</v>
      </c>
    </row>
    <row r="10" spans="1:10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 t="str">
        <f t="shared" si="0"/>
        <v>High Price</v>
      </c>
      <c r="F10" s="6">
        <v>50</v>
      </c>
      <c r="G10" s="6" t="s">
        <v>26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</row>
    <row r="11" spans="1:10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6" t="str">
        <f t="shared" si="0"/>
        <v>Standard Price</v>
      </c>
      <c r="F11" s="7">
        <v>10</v>
      </c>
      <c r="G11" s="7" t="s">
        <v>41</v>
      </c>
      <c r="H11" s="6" t="str">
        <f t="shared" si="1"/>
        <v>14</v>
      </c>
      <c r="I11" s="6" t="str">
        <f t="shared" si="2"/>
        <v>UK</v>
      </c>
      <c r="J11" s="6" t="str">
        <f t="shared" si="3"/>
        <v>OCT</v>
      </c>
    </row>
    <row r="12" spans="1:10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 t="str">
        <f t="shared" si="0"/>
        <v>High Price</v>
      </c>
      <c r="F12" s="6">
        <v>25</v>
      </c>
      <c r="G12" s="6" t="s">
        <v>26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</row>
    <row r="13" spans="1:10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6" t="str">
        <f t="shared" si="0"/>
        <v>Standard Price</v>
      </c>
      <c r="F13" s="7">
        <v>40</v>
      </c>
      <c r="G13" s="7" t="s">
        <v>30</v>
      </c>
      <c r="H13" s="6" t="str">
        <f t="shared" si="1"/>
        <v>25</v>
      </c>
      <c r="I13" s="6" t="str">
        <f t="shared" si="2"/>
        <v>AU</v>
      </c>
      <c r="J13" s="6" t="str">
        <f t="shared" si="3"/>
        <v>NOV</v>
      </c>
    </row>
    <row r="14" spans="1:10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 t="str">
        <f t="shared" si="0"/>
        <v>Standard Price</v>
      </c>
      <c r="F14" s="6">
        <v>35</v>
      </c>
      <c r="G14" s="6" t="s">
        <v>34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</row>
    <row r="15" spans="1:10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6" t="str">
        <f t="shared" si="0"/>
        <v>Standard Price</v>
      </c>
      <c r="F15" s="7">
        <v>15</v>
      </c>
      <c r="G15" s="7" t="s">
        <v>26</v>
      </c>
      <c r="H15" s="6" t="str">
        <f t="shared" si="1"/>
        <v>18</v>
      </c>
      <c r="I15" s="6" t="str">
        <f t="shared" si="2"/>
        <v>CA</v>
      </c>
      <c r="J15" s="6" t="str">
        <f t="shared" si="3"/>
        <v>FEB</v>
      </c>
    </row>
    <row r="16" spans="1:10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 t="str">
        <f t="shared" si="0"/>
        <v>Standard Price</v>
      </c>
      <c r="F16" s="6">
        <v>20</v>
      </c>
      <c r="G16" s="6" t="s">
        <v>26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</row>
    <row r="17" spans="1:10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6" t="str">
        <f t="shared" si="0"/>
        <v>Standard Price</v>
      </c>
      <c r="F17" s="7">
        <v>35</v>
      </c>
      <c r="G17" s="7" t="s">
        <v>70</v>
      </c>
      <c r="H17" s="6" t="str">
        <f t="shared" si="1"/>
        <v>21</v>
      </c>
      <c r="I17" s="6" t="str">
        <f t="shared" si="2"/>
        <v>CA</v>
      </c>
      <c r="J17" s="6" t="str">
        <f t="shared" si="3"/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 t="str">
        <f t="shared" si="0"/>
        <v>Standard Price</v>
      </c>
      <c r="F18" s="6">
        <v>15</v>
      </c>
      <c r="G18" s="6" t="s">
        <v>26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</row>
    <row r="19" spans="1:10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6" t="str">
        <f t="shared" si="0"/>
        <v>High Price</v>
      </c>
      <c r="F19" s="7">
        <v>10</v>
      </c>
      <c r="G19" s="7" t="s">
        <v>26</v>
      </c>
      <c r="H19" s="6" t="str">
        <f t="shared" si="1"/>
        <v>27</v>
      </c>
      <c r="I19" s="6" t="str">
        <f t="shared" si="2"/>
        <v>IT</v>
      </c>
      <c r="J19" s="6" t="str">
        <f t="shared" si="3"/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 t="str">
        <f t="shared" si="0"/>
        <v>Standard Price</v>
      </c>
      <c r="F20" s="6">
        <v>15</v>
      </c>
      <c r="G20" s="6" t="s">
        <v>30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</row>
    <row r="21" spans="1:10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6" t="str">
        <f t="shared" si="0"/>
        <v>Standard Price</v>
      </c>
      <c r="F21" s="7">
        <v>10</v>
      </c>
      <c r="G21" s="7" t="s">
        <v>41</v>
      </c>
      <c r="H21" s="6" t="str">
        <f t="shared" si="1"/>
        <v>14</v>
      </c>
      <c r="I21" s="6" t="str">
        <f t="shared" si="2"/>
        <v>US</v>
      </c>
      <c r="J21" s="6" t="str">
        <f t="shared" si="3"/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 t="str">
        <f t="shared" si="0"/>
        <v>High Price</v>
      </c>
      <c r="F22" s="6">
        <v>50</v>
      </c>
      <c r="G22" s="6" t="s">
        <v>26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</row>
    <row r="23" spans="1:10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6" t="str">
        <f t="shared" si="0"/>
        <v>Standard Price</v>
      </c>
      <c r="F23" s="7">
        <v>20</v>
      </c>
      <c r="G23" s="7" t="s">
        <v>34</v>
      </c>
      <c r="H23" s="6" t="str">
        <f t="shared" si="1"/>
        <v>09</v>
      </c>
      <c r="I23" s="6" t="str">
        <f t="shared" si="2"/>
        <v>CA</v>
      </c>
      <c r="J23" s="6" t="str">
        <f t="shared" si="3"/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 t="str">
        <f t="shared" si="0"/>
        <v>Standard Price</v>
      </c>
      <c r="F24" s="6">
        <v>30</v>
      </c>
      <c r="G24" s="6" t="s">
        <v>26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</row>
    <row r="25" spans="1:10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6" t="str">
        <f t="shared" si="0"/>
        <v>Standard Price</v>
      </c>
      <c r="F25" s="7">
        <v>35</v>
      </c>
      <c r="G25" s="7" t="s">
        <v>70</v>
      </c>
      <c r="H25" s="6" t="str">
        <f t="shared" si="1"/>
        <v>21</v>
      </c>
      <c r="I25" s="6" t="str">
        <f t="shared" si="2"/>
        <v>CA</v>
      </c>
      <c r="J25" s="6" t="str">
        <f t="shared" si="3"/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 t="str">
        <f t="shared" si="0"/>
        <v>High Price</v>
      </c>
      <c r="F26" s="6">
        <v>45</v>
      </c>
      <c r="G26" s="6" t="s">
        <v>26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</row>
    <row r="27" spans="1:10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6" t="str">
        <f t="shared" si="0"/>
        <v>Standard Price</v>
      </c>
      <c r="F27" s="7">
        <v>25</v>
      </c>
      <c r="G27" s="7" t="s">
        <v>30</v>
      </c>
      <c r="H27" s="6" t="str">
        <f t="shared" si="1"/>
        <v>03</v>
      </c>
      <c r="I27" s="6" t="str">
        <f t="shared" si="2"/>
        <v>CA</v>
      </c>
      <c r="J27" s="6" t="str">
        <f t="shared" si="3"/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 t="str">
        <f t="shared" si="0"/>
        <v>Standard Price</v>
      </c>
      <c r="F28" s="6">
        <v>40</v>
      </c>
      <c r="G28" s="6" t="s">
        <v>34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</row>
    <row r="29" spans="1:10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6" t="str">
        <f t="shared" si="0"/>
        <v>Standard Price</v>
      </c>
      <c r="F29" s="7">
        <v>20</v>
      </c>
      <c r="G29" s="7" t="s">
        <v>26</v>
      </c>
      <c r="H29" s="6" t="str">
        <f t="shared" si="1"/>
        <v>16</v>
      </c>
      <c r="I29" s="6" t="str">
        <f t="shared" si="2"/>
        <v>ES</v>
      </c>
      <c r="J29" s="6" t="str">
        <f t="shared" si="3"/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 t="str">
        <f t="shared" si="0"/>
        <v>Standard Price</v>
      </c>
      <c r="F30" s="6">
        <v>30</v>
      </c>
      <c r="G30" s="6" t="s">
        <v>30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</row>
    <row r="31" spans="1:10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6" t="str">
        <f t="shared" si="0"/>
        <v>Standard Price</v>
      </c>
      <c r="F31" s="7">
        <v>10</v>
      </c>
      <c r="G31" s="7" t="s">
        <v>34</v>
      </c>
      <c r="H31" s="6" t="str">
        <f t="shared" si="1"/>
        <v>13</v>
      </c>
      <c r="I31" s="6" t="str">
        <f t="shared" si="2"/>
        <v>CA</v>
      </c>
      <c r="J31" s="6" t="str">
        <f t="shared" si="3"/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 t="str">
        <f>IF(D32&gt;=500,"High Price","Standard Price")</f>
        <v>Standard Price</v>
      </c>
      <c r="F32" s="6">
        <v>5</v>
      </c>
      <c r="G32" s="6" t="s">
        <v>26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</row>
    <row r="33" spans="1:10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6" t="str">
        <f t="shared" si="0"/>
        <v>Standard Price</v>
      </c>
      <c r="F33" s="7">
        <v>50</v>
      </c>
      <c r="G33" s="7" t="s">
        <v>30</v>
      </c>
      <c r="H33" s="6" t="str">
        <f t="shared" si="1"/>
        <v>02</v>
      </c>
      <c r="I33" s="6" t="str">
        <f t="shared" si="2"/>
        <v>CA</v>
      </c>
      <c r="J33" s="6" t="str">
        <f t="shared" si="3"/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 t="str">
        <f t="shared" si="0"/>
        <v>High Price</v>
      </c>
      <c r="F34" s="6">
        <v>25</v>
      </c>
      <c r="G34" s="6" t="s">
        <v>26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</row>
    <row r="35" spans="1:10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6" t="str">
        <f t="shared" si="0"/>
        <v>Standard Price</v>
      </c>
      <c r="F35" s="7">
        <v>20</v>
      </c>
      <c r="G35" s="7" t="s">
        <v>70</v>
      </c>
      <c r="H35" s="6" t="str">
        <f t="shared" si="1"/>
        <v>09</v>
      </c>
      <c r="I35" s="6" t="str">
        <f t="shared" si="2"/>
        <v>FR</v>
      </c>
      <c r="J35" s="6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>
      <c r="A38">
        <v>1</v>
      </c>
      <c r="B38" t="s">
        <v>110</v>
      </c>
      <c r="D38">
        <f>SUM(D2:D35)</f>
        <v>10100</v>
      </c>
      <c r="E38">
        <v>4</v>
      </c>
      <c r="F38" t="s">
        <v>22</v>
      </c>
    </row>
    <row r="39" spans="1:10" ht="15.75" customHeight="1" x14ac:dyDescent="0.2">
      <c r="B39" t="s">
        <v>111</v>
      </c>
      <c r="D39">
        <f>AVERAGE(D2:D35)</f>
        <v>297.05882352941177</v>
      </c>
      <c r="F39" t="s">
        <v>26</v>
      </c>
      <c r="G39" t="s">
        <v>116</v>
      </c>
      <c r="H39">
        <f>SUMIF(G2:G35,F39,D2:D35)</f>
        <v>8050</v>
      </c>
      <c r="I39" t="s">
        <v>116</v>
      </c>
    </row>
    <row r="40" spans="1:10" ht="15.75" customHeight="1" x14ac:dyDescent="0.2">
      <c r="B40" t="s">
        <v>112</v>
      </c>
      <c r="D40">
        <f>COUNT(D1:D36)</f>
        <v>34</v>
      </c>
      <c r="G40" t="s">
        <v>117</v>
      </c>
      <c r="H40">
        <f>COUNTIF(D2:D35,"&lt;100")</f>
        <v>11</v>
      </c>
      <c r="I40" t="s">
        <v>117</v>
      </c>
    </row>
    <row r="41" spans="1:10" ht="15.75" customHeight="1" x14ac:dyDescent="0.2"/>
    <row r="42" spans="1:10" ht="15.75" customHeight="1" x14ac:dyDescent="0.2">
      <c r="A42">
        <v>2</v>
      </c>
      <c r="B42" t="s">
        <v>113</v>
      </c>
      <c r="D42">
        <f>MIN(D2:D35)</f>
        <v>30</v>
      </c>
    </row>
    <row r="43" spans="1:10" ht="15.75" customHeight="1" x14ac:dyDescent="0.2">
      <c r="B43" t="s">
        <v>114</v>
      </c>
      <c r="D43">
        <f>MAX(D2:D35)</f>
        <v>1000</v>
      </c>
    </row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InputMessage="1" showErrorMessage="1" sqref="F39" xr:uid="{2C117D03-A004-42B8-980F-45DA1239B3C6}">
      <formula1>$G$1:$G$35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8FAD-5776-4231-B1E1-6AF917B4DC4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C7CF-13F5-4B2E-B99E-82808C9A850E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2026-09-01T19:49:57Z</dcterms:modified>
</cp:coreProperties>
</file>